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files_help/"/>
    </mc:Choice>
  </mc:AlternateContent>
  <xr:revisionPtr revIDLastSave="7" documentId="11_964B4954EA925ADDD7362718719D0CF7671C575C" xr6:coauthVersionLast="47" xr6:coauthVersionMax="47" xr10:uidLastSave="{5274FE87-6623-7049-A2E6-0D2B71128F84}"/>
  <bookViews>
    <workbookView xWindow="0" yWindow="600" windowWidth="28800" windowHeight="16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5" i="1" l="1"/>
  <c r="K64" i="1"/>
</calcChain>
</file>

<file path=xl/sharedStrings.xml><?xml version="1.0" encoding="utf-8"?>
<sst xmlns="http://schemas.openxmlformats.org/spreadsheetml/2006/main" count="87" uniqueCount="86">
  <si>
    <t>Subject_ID</t>
  </si>
  <si>
    <t>Height_cm</t>
  </si>
  <si>
    <t>Weight_kg</t>
  </si>
  <si>
    <t>BMI</t>
  </si>
  <si>
    <t>Head_Circumference_cm</t>
  </si>
  <si>
    <t>Neck_Circumference_cm</t>
  </si>
  <si>
    <t>Fat_Percent</t>
  </si>
  <si>
    <t>Years_Cycling</t>
  </si>
  <si>
    <t>Other_Sport</t>
  </si>
  <si>
    <t>Vo2max</t>
  </si>
  <si>
    <t>WanT</t>
  </si>
  <si>
    <t>pain_bulian</t>
  </si>
  <si>
    <t>vas</t>
  </si>
  <si>
    <t>missing_data</t>
  </si>
  <si>
    <t>age</t>
  </si>
  <si>
    <t>subject_541</t>
  </si>
  <si>
    <t>subject_560</t>
  </si>
  <si>
    <t>subject_570</t>
  </si>
  <si>
    <t>subject_571</t>
  </si>
  <si>
    <t>subject_572</t>
  </si>
  <si>
    <t>subject_573</t>
  </si>
  <si>
    <t>subject_574</t>
  </si>
  <si>
    <t>subject_575</t>
  </si>
  <si>
    <t>subject_577</t>
  </si>
  <si>
    <t>subject_578</t>
  </si>
  <si>
    <t>subject_579</t>
  </si>
  <si>
    <t>subject_580</t>
  </si>
  <si>
    <t>subject_581</t>
  </si>
  <si>
    <t>subject_582</t>
  </si>
  <si>
    <t>subject_583</t>
  </si>
  <si>
    <t>subject_584</t>
  </si>
  <si>
    <t>subject_585</t>
  </si>
  <si>
    <t>subject_586</t>
  </si>
  <si>
    <t>subject_587</t>
  </si>
  <si>
    <t>subject_588</t>
  </si>
  <si>
    <t>subject_590</t>
  </si>
  <si>
    <t>subject_591</t>
  </si>
  <si>
    <t>subject_594</t>
  </si>
  <si>
    <t>subject_595</t>
  </si>
  <si>
    <t>subject_596</t>
  </si>
  <si>
    <t>subject_597</t>
  </si>
  <si>
    <t>subject_598</t>
  </si>
  <si>
    <t>subject_600</t>
  </si>
  <si>
    <t>22</t>
  </si>
  <si>
    <t>subject_601</t>
  </si>
  <si>
    <t>40</t>
  </si>
  <si>
    <t>subject_602</t>
  </si>
  <si>
    <t>49</t>
  </si>
  <si>
    <t>subject_603</t>
  </si>
  <si>
    <t>31</t>
  </si>
  <si>
    <t>subject_604</t>
  </si>
  <si>
    <t>46</t>
  </si>
  <si>
    <t>subject_605</t>
  </si>
  <si>
    <t>35</t>
  </si>
  <si>
    <t>subject_606</t>
  </si>
  <si>
    <t>subject_607</t>
  </si>
  <si>
    <t>34</t>
  </si>
  <si>
    <t>subject_608</t>
  </si>
  <si>
    <t>39</t>
  </si>
  <si>
    <t>subject_609</t>
  </si>
  <si>
    <t>50</t>
  </si>
  <si>
    <t>subject_610</t>
  </si>
  <si>
    <t>25</t>
  </si>
  <si>
    <t>subject_611</t>
  </si>
  <si>
    <t>44</t>
  </si>
  <si>
    <t>subject_612</t>
  </si>
  <si>
    <t>subject_613</t>
  </si>
  <si>
    <t>subject_614</t>
  </si>
  <si>
    <t>subject_615</t>
  </si>
  <si>
    <t>subject_616</t>
  </si>
  <si>
    <t>subject_617</t>
  </si>
  <si>
    <t>subject_618</t>
  </si>
  <si>
    <t>subject_619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</si>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</sst>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5"/>
  <sheetViews>
    <sheetView tabSelected="1" topLeftCell="A30" zoomScaleNormal="100" workbookViewId="0">
      <selection activeCell="K66" sqref="K66"/>
    </sheetView>
  </sheetViews>
  <sheetFormatPr baseColWidth="10" defaultColWidth="8.5" defaultRowHeight="15" x14ac:dyDescent="0.2"/>
  <cols>
    <col min="1" max="1" width="11.5" customWidth="1"/>
    <col min="2" max="2" width="9.5" bestFit="1" customWidth="1"/>
    <col min="3" max="3" width="9.33203125" bestFit="1" customWidth="1"/>
    <col min="4" max="4" width="12.1640625" bestFit="1" customWidth="1"/>
    <col min="5" max="5" width="20.83203125" bestFit="1" customWidth="1"/>
    <col min="15" max="15" width="8.5" style="1"/>
    <col min="16372" max="16384" width="11.5" customWidth="1"/>
  </cols>
  <sheetData>
    <row r="1" spans="1:5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55" x14ac:dyDescent="0.2">
      <c r="A2" t="s">
        <v>15</v>
      </c>
      <c r="B2">
        <v>173</v>
      </c>
      <c r="C2">
        <v>82</v>
      </c>
      <c r="D2">
        <v>27.3981756824485</v>
      </c>
      <c r="E2">
        <v>52</v>
      </c>
      <c r="F2">
        <v>35</v>
      </c>
      <c r="G2">
        <v>19.2</v>
      </c>
      <c r="H2">
        <v>5</v>
      </c>
      <c r="I2">
        <v>1</v>
      </c>
      <c r="J2">
        <v>32.299999999999997</v>
      </c>
      <c r="K2">
        <v>500</v>
      </c>
      <c r="L2">
        <v>1</v>
      </c>
      <c r="M2">
        <v>3</v>
      </c>
      <c r="O2" s="1">
        <v>36</v>
      </c>
    </row>
    <row r="3" spans="1:55" x14ac:dyDescent="0.2">
      <c r="A3" t="s">
        <v>16</v>
      </c>
      <c r="B3">
        <v>164.4</v>
      </c>
      <c r="C3">
        <v>51.8</v>
      </c>
      <c r="D3">
        <v>19.165763877789001</v>
      </c>
      <c r="E3">
        <v>54</v>
      </c>
      <c r="F3">
        <v>33</v>
      </c>
      <c r="G3">
        <v>18</v>
      </c>
      <c r="H3">
        <v>2</v>
      </c>
      <c r="I3">
        <v>1</v>
      </c>
      <c r="J3">
        <v>37.200000000000003</v>
      </c>
      <c r="K3">
        <v>464</v>
      </c>
      <c r="L3">
        <v>1</v>
      </c>
      <c r="M3">
        <v>3.5</v>
      </c>
      <c r="O3" s="1">
        <v>29</v>
      </c>
    </row>
    <row r="4" spans="1:55" x14ac:dyDescent="0.2">
      <c r="A4" t="s">
        <v>17</v>
      </c>
      <c r="B4">
        <v>174</v>
      </c>
      <c r="C4">
        <v>62.2</v>
      </c>
      <c r="D4">
        <v>20.5443255383802</v>
      </c>
      <c r="E4">
        <v>56</v>
      </c>
      <c r="F4">
        <v>37</v>
      </c>
      <c r="G4">
        <v>16.2</v>
      </c>
      <c r="H4">
        <v>15</v>
      </c>
      <c r="I4">
        <v>1</v>
      </c>
      <c r="J4">
        <v>47</v>
      </c>
      <c r="K4">
        <v>637</v>
      </c>
      <c r="L4">
        <v>0</v>
      </c>
      <c r="M4">
        <v>0</v>
      </c>
      <c r="O4" s="1">
        <v>37</v>
      </c>
    </row>
    <row r="5" spans="1:55" x14ac:dyDescent="0.2">
      <c r="A5" t="s">
        <v>18</v>
      </c>
      <c r="B5">
        <v>170</v>
      </c>
      <c r="C5">
        <v>66.5</v>
      </c>
      <c r="D5">
        <v>23.010380622837399</v>
      </c>
      <c r="E5">
        <v>56</v>
      </c>
      <c r="F5">
        <v>36</v>
      </c>
      <c r="G5">
        <v>21.1</v>
      </c>
      <c r="H5">
        <v>7</v>
      </c>
      <c r="I5">
        <v>1</v>
      </c>
      <c r="J5">
        <v>44.5</v>
      </c>
      <c r="K5">
        <v>610</v>
      </c>
      <c r="L5">
        <v>1</v>
      </c>
      <c r="M5">
        <v>5</v>
      </c>
      <c r="O5" s="1">
        <v>47</v>
      </c>
    </row>
    <row r="6" spans="1:55" x14ac:dyDescent="0.2">
      <c r="A6" t="s">
        <v>19</v>
      </c>
      <c r="B6">
        <v>178.5</v>
      </c>
      <c r="C6">
        <v>79.8</v>
      </c>
      <c r="D6">
        <v>25.045312242544099</v>
      </c>
      <c r="E6">
        <v>56</v>
      </c>
      <c r="F6">
        <v>38</v>
      </c>
      <c r="G6">
        <v>21.5</v>
      </c>
      <c r="H6">
        <v>6</v>
      </c>
      <c r="I6">
        <v>1</v>
      </c>
      <c r="J6">
        <v>38</v>
      </c>
      <c r="K6">
        <v>693</v>
      </c>
      <c r="L6">
        <v>1</v>
      </c>
      <c r="M6">
        <v>3</v>
      </c>
      <c r="O6" s="1">
        <v>29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BC6" s="4"/>
    </row>
    <row r="7" spans="1:55" x14ac:dyDescent="0.2">
      <c r="A7" t="s">
        <v>20</v>
      </c>
      <c r="B7">
        <v>180</v>
      </c>
      <c r="C7">
        <v>72.349999999999994</v>
      </c>
      <c r="D7">
        <v>22.330246913580201</v>
      </c>
      <c r="E7">
        <v>56</v>
      </c>
      <c r="F7">
        <v>38</v>
      </c>
      <c r="G7">
        <v>18.899999999999999</v>
      </c>
      <c r="H7">
        <v>3</v>
      </c>
      <c r="I7">
        <v>1</v>
      </c>
      <c r="J7">
        <v>47.2</v>
      </c>
      <c r="K7">
        <v>729</v>
      </c>
      <c r="L7">
        <v>1</v>
      </c>
      <c r="M7">
        <v>2.5</v>
      </c>
      <c r="O7" s="1">
        <v>44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BC7" s="4"/>
    </row>
    <row r="8" spans="1:55" x14ac:dyDescent="0.2">
      <c r="A8" t="s">
        <v>21</v>
      </c>
      <c r="B8">
        <v>179.5</v>
      </c>
      <c r="C8">
        <v>87.15</v>
      </c>
      <c r="D8">
        <v>27.0482072609617</v>
      </c>
      <c r="E8">
        <v>57</v>
      </c>
      <c r="F8">
        <v>41</v>
      </c>
      <c r="G8">
        <v>25</v>
      </c>
      <c r="H8">
        <v>8</v>
      </c>
      <c r="I8">
        <v>0</v>
      </c>
      <c r="J8">
        <v>40.4</v>
      </c>
      <c r="K8">
        <v>858</v>
      </c>
      <c r="L8">
        <v>1</v>
      </c>
      <c r="M8">
        <v>7.5</v>
      </c>
      <c r="O8" s="1">
        <v>43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BC8" s="4"/>
    </row>
    <row r="9" spans="1:55" x14ac:dyDescent="0.2">
      <c r="A9" t="s">
        <v>22</v>
      </c>
      <c r="B9">
        <v>169</v>
      </c>
      <c r="C9">
        <v>65.7</v>
      </c>
      <c r="D9">
        <v>23.003396239627499</v>
      </c>
      <c r="E9">
        <v>56</v>
      </c>
      <c r="F9">
        <v>38</v>
      </c>
      <c r="G9">
        <v>19.5</v>
      </c>
      <c r="H9">
        <v>20</v>
      </c>
      <c r="I9">
        <v>1</v>
      </c>
      <c r="J9">
        <v>51.6</v>
      </c>
      <c r="K9">
        <v>544</v>
      </c>
      <c r="L9">
        <v>1</v>
      </c>
      <c r="M9">
        <v>5</v>
      </c>
      <c r="O9" s="1">
        <v>48</v>
      </c>
    </row>
    <row r="10" spans="1:55" x14ac:dyDescent="0.2">
      <c r="A10" t="s">
        <v>23</v>
      </c>
      <c r="B10">
        <v>174</v>
      </c>
      <c r="C10">
        <v>66.3</v>
      </c>
      <c r="D10">
        <v>21.898533491874801</v>
      </c>
      <c r="E10">
        <v>57</v>
      </c>
      <c r="F10">
        <v>36</v>
      </c>
      <c r="G10">
        <v>17.600000000000001</v>
      </c>
      <c r="H10">
        <v>22</v>
      </c>
      <c r="I10">
        <v>0</v>
      </c>
      <c r="J10">
        <v>53.8</v>
      </c>
      <c r="K10">
        <v>625</v>
      </c>
      <c r="L10">
        <v>1</v>
      </c>
      <c r="M10">
        <v>2</v>
      </c>
      <c r="O10" s="1">
        <v>44</v>
      </c>
    </row>
    <row r="11" spans="1:55" x14ac:dyDescent="0.2">
      <c r="A11" t="s">
        <v>24</v>
      </c>
      <c r="B11">
        <v>182</v>
      </c>
      <c r="C11">
        <v>82.5</v>
      </c>
      <c r="D11">
        <v>24.9064122690496</v>
      </c>
      <c r="E11">
        <v>60</v>
      </c>
      <c r="F11">
        <v>37</v>
      </c>
      <c r="G11">
        <v>20.100000000000001</v>
      </c>
      <c r="H11">
        <v>15</v>
      </c>
      <c r="I11">
        <v>1</v>
      </c>
      <c r="J11">
        <v>47</v>
      </c>
      <c r="K11">
        <v>739</v>
      </c>
      <c r="L11">
        <v>1</v>
      </c>
      <c r="M11">
        <v>2</v>
      </c>
      <c r="O11" s="1">
        <v>41</v>
      </c>
    </row>
    <row r="12" spans="1:55" x14ac:dyDescent="0.2">
      <c r="A12" t="s">
        <v>25</v>
      </c>
      <c r="B12">
        <v>175</v>
      </c>
      <c r="C12">
        <v>73.400000000000006</v>
      </c>
      <c r="D12">
        <v>23.967346938775499</v>
      </c>
      <c r="E12">
        <v>56</v>
      </c>
      <c r="F12">
        <v>36</v>
      </c>
      <c r="G12">
        <v>18.399999999999999</v>
      </c>
      <c r="H12">
        <v>5</v>
      </c>
      <c r="I12">
        <v>1</v>
      </c>
      <c r="J12">
        <v>53.7</v>
      </c>
      <c r="K12">
        <v>852</v>
      </c>
      <c r="L12">
        <v>0</v>
      </c>
      <c r="M12">
        <v>0</v>
      </c>
      <c r="O12" s="1">
        <v>39</v>
      </c>
    </row>
    <row r="13" spans="1:55" x14ac:dyDescent="0.2">
      <c r="A13" t="s">
        <v>26</v>
      </c>
      <c r="B13">
        <v>180.5</v>
      </c>
      <c r="C13">
        <v>74.099999999999994</v>
      </c>
      <c r="D13">
        <v>22.743840209943102</v>
      </c>
      <c r="E13">
        <v>57</v>
      </c>
      <c r="F13">
        <v>35</v>
      </c>
      <c r="G13">
        <v>14.6</v>
      </c>
      <c r="H13">
        <v>4</v>
      </c>
      <c r="I13">
        <v>1</v>
      </c>
      <c r="J13">
        <v>65.599999999999994</v>
      </c>
      <c r="K13">
        <v>986</v>
      </c>
      <c r="L13">
        <v>1</v>
      </c>
      <c r="M13">
        <v>5</v>
      </c>
      <c r="O13" s="1">
        <v>41</v>
      </c>
    </row>
    <row r="14" spans="1:55" x14ac:dyDescent="0.2">
      <c r="A14" t="s">
        <v>27</v>
      </c>
      <c r="B14">
        <v>169</v>
      </c>
      <c r="C14">
        <v>63.65</v>
      </c>
      <c r="D14">
        <v>22.285634256503599</v>
      </c>
      <c r="E14">
        <v>53</v>
      </c>
      <c r="F14">
        <v>37</v>
      </c>
      <c r="G14">
        <v>13.5</v>
      </c>
      <c r="H14">
        <v>15</v>
      </c>
      <c r="I14">
        <v>1</v>
      </c>
      <c r="J14">
        <v>54.2</v>
      </c>
      <c r="K14">
        <v>703</v>
      </c>
      <c r="L14">
        <v>1</v>
      </c>
      <c r="M14">
        <v>7</v>
      </c>
      <c r="O14" s="1">
        <v>50</v>
      </c>
    </row>
    <row r="15" spans="1:55" x14ac:dyDescent="0.2">
      <c r="A15" t="s">
        <v>28</v>
      </c>
      <c r="B15">
        <v>169.7</v>
      </c>
      <c r="C15">
        <v>67.099999999999994</v>
      </c>
      <c r="D15">
        <v>23.300156364536701</v>
      </c>
      <c r="E15">
        <v>55</v>
      </c>
      <c r="F15">
        <v>36</v>
      </c>
      <c r="G15">
        <v>19.3</v>
      </c>
      <c r="H15">
        <v>5</v>
      </c>
      <c r="I15">
        <v>1</v>
      </c>
      <c r="J15">
        <v>52.9</v>
      </c>
      <c r="K15">
        <v>703</v>
      </c>
      <c r="L15">
        <v>1</v>
      </c>
      <c r="M15">
        <v>5</v>
      </c>
      <c r="O15" s="1">
        <v>44</v>
      </c>
    </row>
    <row r="16" spans="1:55" x14ac:dyDescent="0.2">
      <c r="A16" t="s">
        <v>29</v>
      </c>
      <c r="B16">
        <v>174.2</v>
      </c>
      <c r="C16">
        <v>75.5</v>
      </c>
      <c r="D16">
        <v>24.880015712306601</v>
      </c>
      <c r="E16">
        <v>57</v>
      </c>
      <c r="F16">
        <v>37</v>
      </c>
      <c r="G16">
        <v>18</v>
      </c>
      <c r="H16">
        <v>5</v>
      </c>
      <c r="I16">
        <v>1</v>
      </c>
      <c r="J16">
        <v>51.6</v>
      </c>
      <c r="K16">
        <v>770</v>
      </c>
      <c r="L16">
        <v>1</v>
      </c>
      <c r="M16">
        <v>4</v>
      </c>
      <c r="O16" s="1">
        <v>40</v>
      </c>
    </row>
    <row r="17" spans="1:15" x14ac:dyDescent="0.2">
      <c r="A17" t="s">
        <v>30</v>
      </c>
      <c r="B17">
        <v>174</v>
      </c>
      <c r="C17">
        <v>74.099999999999994</v>
      </c>
      <c r="D17">
        <v>24.474831549742401</v>
      </c>
      <c r="E17">
        <v>57</v>
      </c>
      <c r="F17">
        <v>38</v>
      </c>
      <c r="G17">
        <v>19.7</v>
      </c>
      <c r="H17">
        <v>3</v>
      </c>
      <c r="I17">
        <v>1</v>
      </c>
      <c r="J17">
        <v>46.9</v>
      </c>
      <c r="K17">
        <v>777</v>
      </c>
      <c r="L17">
        <v>0</v>
      </c>
      <c r="M17">
        <v>0</v>
      </c>
      <c r="O17" s="1">
        <v>48</v>
      </c>
    </row>
    <row r="18" spans="1:15" x14ac:dyDescent="0.2">
      <c r="A18" t="s">
        <v>31</v>
      </c>
      <c r="B18">
        <v>176.6</v>
      </c>
      <c r="C18">
        <v>71.8</v>
      </c>
      <c r="D18">
        <v>23.0219997973551</v>
      </c>
      <c r="E18">
        <v>56</v>
      </c>
      <c r="F18">
        <v>37</v>
      </c>
      <c r="G18">
        <v>17.100000000000001</v>
      </c>
      <c r="H18">
        <v>6</v>
      </c>
      <c r="I18">
        <v>1</v>
      </c>
      <c r="J18">
        <v>52.6</v>
      </c>
      <c r="K18">
        <v>758</v>
      </c>
      <c r="L18">
        <v>1</v>
      </c>
      <c r="M18">
        <v>4</v>
      </c>
      <c r="O18" s="1">
        <v>49</v>
      </c>
    </row>
    <row r="19" spans="1:15" x14ac:dyDescent="0.2">
      <c r="A19" t="s">
        <v>32</v>
      </c>
      <c r="B19">
        <v>183.5</v>
      </c>
      <c r="C19">
        <v>69.7</v>
      </c>
      <c r="D19">
        <v>20.699537452947201</v>
      </c>
      <c r="E19">
        <v>56</v>
      </c>
      <c r="F19">
        <v>38</v>
      </c>
      <c r="G19">
        <v>18</v>
      </c>
      <c r="H19">
        <v>10</v>
      </c>
      <c r="I19">
        <v>1</v>
      </c>
      <c r="J19">
        <v>54</v>
      </c>
      <c r="K19">
        <v>640</v>
      </c>
      <c r="L19">
        <v>1</v>
      </c>
      <c r="M19">
        <v>1</v>
      </c>
      <c r="O19" s="1">
        <v>48</v>
      </c>
    </row>
    <row r="20" spans="1:15" x14ac:dyDescent="0.2">
      <c r="A20" t="s">
        <v>33</v>
      </c>
      <c r="B20">
        <v>160.30000000000001</v>
      </c>
      <c r="C20">
        <v>55.25</v>
      </c>
      <c r="D20">
        <v>21.501325688071599</v>
      </c>
      <c r="E20">
        <v>54</v>
      </c>
      <c r="F20">
        <v>31</v>
      </c>
      <c r="G20">
        <v>29.9</v>
      </c>
      <c r="H20">
        <v>7</v>
      </c>
      <c r="I20">
        <v>1</v>
      </c>
      <c r="J20">
        <v>42.9</v>
      </c>
      <c r="K20">
        <v>319</v>
      </c>
      <c r="L20">
        <v>1</v>
      </c>
      <c r="M20">
        <v>6</v>
      </c>
      <c r="O20" s="1">
        <v>46</v>
      </c>
    </row>
    <row r="21" spans="1:15" x14ac:dyDescent="0.2">
      <c r="A21" t="s">
        <v>34</v>
      </c>
      <c r="B21">
        <v>179</v>
      </c>
      <c r="C21">
        <v>75</v>
      </c>
      <c r="D21">
        <v>23.407509128928599</v>
      </c>
      <c r="E21">
        <v>56</v>
      </c>
      <c r="F21">
        <v>36</v>
      </c>
      <c r="G21">
        <v>19.7</v>
      </c>
      <c r="H21">
        <v>5</v>
      </c>
      <c r="I21">
        <v>1</v>
      </c>
      <c r="J21">
        <v>46.4</v>
      </c>
      <c r="K21">
        <v>787</v>
      </c>
      <c r="L21">
        <v>1</v>
      </c>
      <c r="M21">
        <v>3</v>
      </c>
      <c r="O21" s="1">
        <v>49</v>
      </c>
    </row>
    <row r="22" spans="1:15" x14ac:dyDescent="0.2">
      <c r="A22" t="s">
        <v>35</v>
      </c>
      <c r="B22">
        <v>178.4</v>
      </c>
      <c r="C22">
        <v>78.2</v>
      </c>
      <c r="D22">
        <v>24.570673047919701</v>
      </c>
      <c r="E22">
        <v>58</v>
      </c>
      <c r="F22">
        <v>38</v>
      </c>
      <c r="G22">
        <v>16.2</v>
      </c>
      <c r="H22">
        <v>20</v>
      </c>
      <c r="I22">
        <v>1</v>
      </c>
      <c r="J22">
        <v>62.4</v>
      </c>
      <c r="K22">
        <v>1010</v>
      </c>
      <c r="L22">
        <v>1</v>
      </c>
      <c r="M22">
        <v>5</v>
      </c>
      <c r="O22" s="1">
        <v>32</v>
      </c>
    </row>
    <row r="23" spans="1:15" x14ac:dyDescent="0.2">
      <c r="A23" t="s">
        <v>36</v>
      </c>
      <c r="B23">
        <v>183.5</v>
      </c>
      <c r="C23">
        <v>71.650000000000006</v>
      </c>
      <c r="D23">
        <v>21.278649332907701</v>
      </c>
      <c r="E23">
        <v>56</v>
      </c>
      <c r="F23">
        <v>37</v>
      </c>
      <c r="G23">
        <v>13</v>
      </c>
      <c r="H23">
        <v>10</v>
      </c>
      <c r="I23">
        <v>0</v>
      </c>
      <c r="J23">
        <v>58.1</v>
      </c>
      <c r="K23">
        <v>1100</v>
      </c>
      <c r="L23">
        <v>0</v>
      </c>
      <c r="M23">
        <v>0</v>
      </c>
      <c r="O23" s="1">
        <v>41</v>
      </c>
    </row>
    <row r="24" spans="1:15" x14ac:dyDescent="0.2">
      <c r="A24" t="s">
        <v>37</v>
      </c>
      <c r="B24">
        <v>173</v>
      </c>
      <c r="C24">
        <v>81.099999999999994</v>
      </c>
      <c r="D24">
        <v>27.097463998128902</v>
      </c>
      <c r="E24">
        <v>55</v>
      </c>
      <c r="F24">
        <v>39</v>
      </c>
      <c r="G24">
        <v>21.1</v>
      </c>
      <c r="H24">
        <v>6</v>
      </c>
      <c r="I24">
        <v>1</v>
      </c>
      <c r="J24">
        <v>34.5</v>
      </c>
      <c r="K24">
        <v>661</v>
      </c>
      <c r="L24">
        <v>0</v>
      </c>
      <c r="M24">
        <v>4</v>
      </c>
      <c r="O24" s="1">
        <v>36</v>
      </c>
    </row>
    <row r="25" spans="1:15" x14ac:dyDescent="0.2">
      <c r="A25" t="s">
        <v>38</v>
      </c>
      <c r="B25">
        <v>188.5</v>
      </c>
      <c r="C25">
        <v>72.2</v>
      </c>
      <c r="D25">
        <v>20.3195688423897</v>
      </c>
      <c r="E25">
        <v>57</v>
      </c>
      <c r="F25">
        <v>37</v>
      </c>
      <c r="G25">
        <v>15.8</v>
      </c>
      <c r="H25">
        <v>8</v>
      </c>
      <c r="I25">
        <v>1</v>
      </c>
      <c r="J25">
        <v>43.4</v>
      </c>
      <c r="K25">
        <v>670</v>
      </c>
      <c r="L25">
        <v>1</v>
      </c>
      <c r="M25">
        <v>7</v>
      </c>
      <c r="O25" s="1">
        <v>33</v>
      </c>
    </row>
    <row r="26" spans="1:15" x14ac:dyDescent="0.2">
      <c r="A26" t="s">
        <v>39</v>
      </c>
      <c r="B26">
        <v>171</v>
      </c>
      <c r="C26">
        <v>73.2</v>
      </c>
      <c r="D26">
        <v>25.033343592900401</v>
      </c>
      <c r="E26">
        <v>57</v>
      </c>
      <c r="F26">
        <v>36</v>
      </c>
      <c r="G26">
        <v>19.3</v>
      </c>
      <c r="H26">
        <v>9</v>
      </c>
      <c r="I26">
        <v>1</v>
      </c>
      <c r="J26">
        <v>55.1</v>
      </c>
      <c r="K26">
        <v>739</v>
      </c>
      <c r="L26">
        <v>1</v>
      </c>
      <c r="M26">
        <v>3</v>
      </c>
      <c r="O26" s="1">
        <v>44</v>
      </c>
    </row>
    <row r="27" spans="1:15" x14ac:dyDescent="0.2">
      <c r="A27" t="s">
        <v>40</v>
      </c>
      <c r="B27">
        <v>161.5</v>
      </c>
      <c r="C27">
        <v>55.4</v>
      </c>
      <c r="D27">
        <v>21.240498806659701</v>
      </c>
      <c r="E27">
        <v>51</v>
      </c>
      <c r="F27">
        <v>33</v>
      </c>
      <c r="G27">
        <v>15</v>
      </c>
      <c r="H27">
        <v>3</v>
      </c>
      <c r="I27">
        <v>1</v>
      </c>
      <c r="J27">
        <v>51.1</v>
      </c>
      <c r="K27">
        <v>450</v>
      </c>
      <c r="L27">
        <v>1</v>
      </c>
      <c r="M27">
        <v>2</v>
      </c>
      <c r="O27" s="1">
        <v>33</v>
      </c>
    </row>
    <row r="28" spans="1:15" x14ac:dyDescent="0.2">
      <c r="A28" t="s">
        <v>41</v>
      </c>
      <c r="B28">
        <v>164</v>
      </c>
      <c r="C28">
        <v>59.6</v>
      </c>
      <c r="D28">
        <v>22.159428911362301</v>
      </c>
      <c r="E28">
        <v>55</v>
      </c>
      <c r="F28">
        <v>35</v>
      </c>
      <c r="G28">
        <v>10.9</v>
      </c>
      <c r="H28">
        <v>1</v>
      </c>
      <c r="I28">
        <v>1</v>
      </c>
      <c r="J28">
        <v>53.9</v>
      </c>
      <c r="K28">
        <v>614</v>
      </c>
      <c r="L28">
        <v>0</v>
      </c>
      <c r="M28">
        <v>0</v>
      </c>
      <c r="O28" s="1">
        <v>35</v>
      </c>
    </row>
    <row r="29" spans="1:15" x14ac:dyDescent="0.2">
      <c r="A29" t="s">
        <v>42</v>
      </c>
      <c r="B29">
        <v>172</v>
      </c>
      <c r="C29">
        <v>78.95</v>
      </c>
      <c r="D29">
        <v>26.686722552731201</v>
      </c>
      <c r="E29">
        <v>56</v>
      </c>
      <c r="F29">
        <v>39</v>
      </c>
      <c r="G29">
        <v>14.5</v>
      </c>
      <c r="H29">
        <v>4</v>
      </c>
      <c r="I29">
        <v>1</v>
      </c>
      <c r="J29">
        <v>38</v>
      </c>
      <c r="K29">
        <v>916</v>
      </c>
      <c r="L29">
        <v>0</v>
      </c>
      <c r="M29">
        <v>0</v>
      </c>
      <c r="O29" s="1" t="s">
        <v>43</v>
      </c>
    </row>
    <row r="30" spans="1:15" x14ac:dyDescent="0.2">
      <c r="A30" t="s">
        <v>44</v>
      </c>
      <c r="B30">
        <v>181.5</v>
      </c>
      <c r="C30">
        <v>85.1</v>
      </c>
      <c r="D30">
        <v>25.833086689585599</v>
      </c>
      <c r="E30">
        <v>60</v>
      </c>
      <c r="F30">
        <v>40</v>
      </c>
      <c r="G30">
        <v>21.1</v>
      </c>
      <c r="H30">
        <v>3</v>
      </c>
      <c r="I30">
        <v>1</v>
      </c>
      <c r="J30">
        <v>49.4</v>
      </c>
      <c r="K30">
        <v>1370</v>
      </c>
      <c r="L30">
        <v>1</v>
      </c>
      <c r="M30">
        <v>2</v>
      </c>
      <c r="O30" s="1" t="s">
        <v>45</v>
      </c>
    </row>
    <row r="31" spans="1:15" x14ac:dyDescent="0.2">
      <c r="A31" t="s">
        <v>46</v>
      </c>
      <c r="B31">
        <v>179</v>
      </c>
      <c r="C31">
        <v>56.3</v>
      </c>
      <c r="D31">
        <v>17.571236852782398</v>
      </c>
      <c r="E31">
        <v>56</v>
      </c>
      <c r="F31">
        <v>36</v>
      </c>
      <c r="G31">
        <v>14</v>
      </c>
      <c r="H31">
        <v>6</v>
      </c>
      <c r="I31">
        <v>1</v>
      </c>
      <c r="J31">
        <v>53.5</v>
      </c>
      <c r="K31">
        <v>486</v>
      </c>
      <c r="L31">
        <v>1</v>
      </c>
      <c r="M31">
        <v>4</v>
      </c>
      <c r="O31" s="1" t="s">
        <v>47</v>
      </c>
    </row>
    <row r="32" spans="1:15" x14ac:dyDescent="0.2">
      <c r="A32" t="s">
        <v>48</v>
      </c>
      <c r="B32">
        <v>181</v>
      </c>
      <c r="C32">
        <v>83.4</v>
      </c>
      <c r="D32">
        <v>25.4570983791704</v>
      </c>
      <c r="E32">
        <v>55</v>
      </c>
      <c r="F32">
        <v>38</v>
      </c>
      <c r="G32">
        <v>10.5</v>
      </c>
      <c r="H32">
        <v>4</v>
      </c>
      <c r="I32">
        <v>1</v>
      </c>
      <c r="J32">
        <v>57</v>
      </c>
      <c r="K32">
        <v>1045</v>
      </c>
      <c r="L32">
        <v>1</v>
      </c>
      <c r="M32">
        <v>4</v>
      </c>
      <c r="O32" s="1" t="s">
        <v>49</v>
      </c>
    </row>
    <row r="33" spans="1:15" x14ac:dyDescent="0.2">
      <c r="A33" t="s">
        <v>50</v>
      </c>
      <c r="B33">
        <v>172.1</v>
      </c>
      <c r="C33">
        <v>75.349999999999994</v>
      </c>
      <c r="D33">
        <v>25.440258271797799</v>
      </c>
      <c r="E33">
        <v>55</v>
      </c>
      <c r="F33">
        <v>37</v>
      </c>
      <c r="G33">
        <v>21.1</v>
      </c>
      <c r="H33">
        <v>7</v>
      </c>
      <c r="I33">
        <v>1</v>
      </c>
      <c r="J33">
        <v>45</v>
      </c>
      <c r="K33">
        <v>655</v>
      </c>
      <c r="L33">
        <v>1</v>
      </c>
      <c r="M33">
        <v>5</v>
      </c>
      <c r="O33" s="1" t="s">
        <v>51</v>
      </c>
    </row>
    <row r="34" spans="1:15" x14ac:dyDescent="0.2">
      <c r="A34" t="s">
        <v>52</v>
      </c>
      <c r="B34">
        <v>173.5</v>
      </c>
      <c r="C34">
        <v>69.349999999999994</v>
      </c>
      <c r="D34">
        <v>23.0381449891619</v>
      </c>
      <c r="E34">
        <v>57</v>
      </c>
      <c r="F34">
        <v>36</v>
      </c>
      <c r="G34">
        <v>13</v>
      </c>
      <c r="H34">
        <v>3</v>
      </c>
      <c r="I34">
        <v>1</v>
      </c>
      <c r="J34">
        <v>61</v>
      </c>
      <c r="K34">
        <v>861</v>
      </c>
      <c r="L34">
        <v>0</v>
      </c>
      <c r="M34">
        <v>0</v>
      </c>
      <c r="O34" s="1" t="s">
        <v>53</v>
      </c>
    </row>
    <row r="35" spans="1:15" x14ac:dyDescent="0.2">
      <c r="A35" t="s">
        <v>54</v>
      </c>
      <c r="B35">
        <v>176.3</v>
      </c>
      <c r="C35">
        <v>78.55</v>
      </c>
      <c r="D35">
        <v>25.272113581983501</v>
      </c>
      <c r="E35">
        <v>56</v>
      </c>
      <c r="F35">
        <v>38</v>
      </c>
      <c r="G35">
        <v>13</v>
      </c>
      <c r="H35">
        <v>1</v>
      </c>
      <c r="I35">
        <v>1</v>
      </c>
      <c r="J35">
        <v>43.5</v>
      </c>
      <c r="K35">
        <v>741</v>
      </c>
      <c r="L35">
        <v>0</v>
      </c>
      <c r="M35">
        <v>0</v>
      </c>
      <c r="O35" s="1" t="s">
        <v>43</v>
      </c>
    </row>
    <row r="36" spans="1:15" x14ac:dyDescent="0.2">
      <c r="A36" t="s">
        <v>55</v>
      </c>
      <c r="B36">
        <v>176.5</v>
      </c>
      <c r="C36">
        <v>82.5</v>
      </c>
      <c r="D36">
        <v>26.4828383182595</v>
      </c>
      <c r="E36">
        <v>58</v>
      </c>
      <c r="F36">
        <v>39</v>
      </c>
      <c r="G36">
        <v>16.8</v>
      </c>
      <c r="H36">
        <v>3</v>
      </c>
      <c r="I36">
        <v>1</v>
      </c>
      <c r="J36">
        <v>46.2</v>
      </c>
      <c r="K36">
        <v>767</v>
      </c>
      <c r="L36">
        <v>1</v>
      </c>
      <c r="M36">
        <v>8.5</v>
      </c>
      <c r="O36" s="1" t="s">
        <v>56</v>
      </c>
    </row>
    <row r="37" spans="1:15" x14ac:dyDescent="0.2">
      <c r="A37" t="s">
        <v>57</v>
      </c>
      <c r="B37">
        <v>170</v>
      </c>
      <c r="C37">
        <v>72.400000000000006</v>
      </c>
      <c r="D37">
        <v>25.051903114186899</v>
      </c>
      <c r="E37">
        <v>58</v>
      </c>
      <c r="F37">
        <v>36</v>
      </c>
      <c r="G37">
        <v>13.9</v>
      </c>
      <c r="H37">
        <v>12</v>
      </c>
      <c r="I37">
        <v>1</v>
      </c>
      <c r="J37">
        <v>46.7</v>
      </c>
      <c r="K37">
        <v>661</v>
      </c>
      <c r="L37">
        <v>1</v>
      </c>
      <c r="M37">
        <v>3</v>
      </c>
      <c r="O37" s="1" t="s">
        <v>58</v>
      </c>
    </row>
    <row r="38" spans="1:15" x14ac:dyDescent="0.2">
      <c r="A38" t="s">
        <v>59</v>
      </c>
      <c r="B38">
        <v>173.5</v>
      </c>
      <c r="C38">
        <v>70.099999999999994</v>
      </c>
      <c r="D38">
        <v>23.287295800147799</v>
      </c>
      <c r="E38">
        <v>54</v>
      </c>
      <c r="F38">
        <v>36</v>
      </c>
      <c r="G38">
        <v>15.2</v>
      </c>
      <c r="H38">
        <v>10</v>
      </c>
      <c r="I38">
        <v>1</v>
      </c>
      <c r="J38">
        <v>49</v>
      </c>
      <c r="K38">
        <v>619</v>
      </c>
      <c r="L38">
        <v>0</v>
      </c>
      <c r="M38">
        <v>0</v>
      </c>
      <c r="O38" s="1" t="s">
        <v>60</v>
      </c>
    </row>
    <row r="39" spans="1:15" x14ac:dyDescent="0.2">
      <c r="A39" t="s">
        <v>61</v>
      </c>
      <c r="B39">
        <v>180</v>
      </c>
      <c r="C39">
        <v>89.7</v>
      </c>
      <c r="D39">
        <v>27.685185185185201</v>
      </c>
      <c r="E39">
        <v>56</v>
      </c>
      <c r="F39">
        <v>38</v>
      </c>
      <c r="G39">
        <v>12.3</v>
      </c>
      <c r="H39">
        <v>10</v>
      </c>
      <c r="I39">
        <v>1</v>
      </c>
      <c r="J39">
        <v>44.5</v>
      </c>
      <c r="K39">
        <v>883</v>
      </c>
      <c r="L39">
        <v>1</v>
      </c>
      <c r="M39">
        <v>2</v>
      </c>
      <c r="O39" s="1" t="s">
        <v>62</v>
      </c>
    </row>
    <row r="40" spans="1:15" x14ac:dyDescent="0.2">
      <c r="A40" t="s">
        <v>63</v>
      </c>
      <c r="B40">
        <v>185.5</v>
      </c>
      <c r="C40">
        <v>100.5</v>
      </c>
      <c r="D40">
        <v>29.206413786589799</v>
      </c>
      <c r="E40">
        <v>57</v>
      </c>
      <c r="F40">
        <v>39</v>
      </c>
      <c r="G40">
        <v>21.8</v>
      </c>
      <c r="H40">
        <v>12</v>
      </c>
      <c r="I40">
        <v>1</v>
      </c>
      <c r="J40">
        <v>50.5</v>
      </c>
      <c r="K40">
        <v>877</v>
      </c>
      <c r="L40">
        <v>1</v>
      </c>
      <c r="M40">
        <v>3</v>
      </c>
      <c r="O40" s="1" t="s">
        <v>64</v>
      </c>
    </row>
    <row r="41" spans="1:15" x14ac:dyDescent="0.2">
      <c r="A41" t="s">
        <v>65</v>
      </c>
      <c r="B41">
        <v>165.3</v>
      </c>
      <c r="C41">
        <v>55.9</v>
      </c>
      <c r="D41">
        <v>20.458137855643098</v>
      </c>
      <c r="E41">
        <v>54</v>
      </c>
      <c r="F41">
        <v>34</v>
      </c>
      <c r="G41">
        <v>8.3000000000000007</v>
      </c>
      <c r="H41">
        <v>1</v>
      </c>
      <c r="I41">
        <v>1</v>
      </c>
      <c r="J41">
        <v>60.6</v>
      </c>
      <c r="K41">
        <v>680</v>
      </c>
      <c r="L41">
        <v>0</v>
      </c>
      <c r="M41">
        <v>0</v>
      </c>
      <c r="O41" s="1">
        <v>18</v>
      </c>
    </row>
    <row r="42" spans="1:15" x14ac:dyDescent="0.2">
      <c r="A42" t="s">
        <v>66</v>
      </c>
      <c r="B42">
        <v>190.5</v>
      </c>
      <c r="C42">
        <v>90.45</v>
      </c>
      <c r="D42">
        <v>24.924049848099699</v>
      </c>
      <c r="E42">
        <v>56</v>
      </c>
      <c r="F42">
        <v>39</v>
      </c>
      <c r="G42">
        <v>12.3</v>
      </c>
      <c r="H42">
        <v>3</v>
      </c>
      <c r="I42">
        <v>1</v>
      </c>
      <c r="J42">
        <v>55.4</v>
      </c>
      <c r="K42">
        <v>966</v>
      </c>
      <c r="L42">
        <v>1</v>
      </c>
      <c r="M42">
        <v>4</v>
      </c>
      <c r="O42" s="1">
        <v>27</v>
      </c>
    </row>
    <row r="43" spans="1:15" x14ac:dyDescent="0.2">
      <c r="A43" t="s">
        <v>67</v>
      </c>
      <c r="B43">
        <v>188</v>
      </c>
      <c r="C43">
        <v>91.8</v>
      </c>
      <c r="D43">
        <v>25.9732910819375</v>
      </c>
      <c r="E43">
        <v>57</v>
      </c>
      <c r="F43">
        <v>39</v>
      </c>
      <c r="G43">
        <v>20.8</v>
      </c>
      <c r="H43">
        <v>19</v>
      </c>
      <c r="I43">
        <v>1</v>
      </c>
      <c r="J43">
        <v>52.6</v>
      </c>
      <c r="K43">
        <v>785</v>
      </c>
      <c r="L43">
        <v>0</v>
      </c>
      <c r="M43">
        <v>0</v>
      </c>
      <c r="O43" s="1">
        <v>41</v>
      </c>
    </row>
    <row r="44" spans="1:15" x14ac:dyDescent="0.2">
      <c r="A44" t="s">
        <v>68</v>
      </c>
      <c r="B44">
        <v>179</v>
      </c>
      <c r="C44">
        <v>64</v>
      </c>
      <c r="D44">
        <v>19.974407790019001</v>
      </c>
      <c r="E44">
        <v>53</v>
      </c>
      <c r="F44">
        <v>34</v>
      </c>
      <c r="G44">
        <v>18</v>
      </c>
      <c r="H44">
        <v>25</v>
      </c>
      <c r="I44">
        <v>0</v>
      </c>
      <c r="J44">
        <v>48.2</v>
      </c>
      <c r="K44">
        <v>670</v>
      </c>
      <c r="L44">
        <v>1</v>
      </c>
      <c r="M44">
        <v>6</v>
      </c>
      <c r="O44" s="1">
        <v>49</v>
      </c>
    </row>
    <row r="45" spans="1:15" x14ac:dyDescent="0.2">
      <c r="A45" t="s">
        <v>69</v>
      </c>
      <c r="B45">
        <v>172.5</v>
      </c>
      <c r="C45">
        <v>70.55</v>
      </c>
      <c r="D45">
        <v>23.709304767905898</v>
      </c>
      <c r="E45">
        <v>56</v>
      </c>
      <c r="F45">
        <v>37</v>
      </c>
      <c r="G45">
        <v>12.7</v>
      </c>
      <c r="H45">
        <v>2</v>
      </c>
      <c r="I45">
        <v>1</v>
      </c>
      <c r="J45">
        <v>53.2</v>
      </c>
      <c r="K45">
        <v>674</v>
      </c>
      <c r="L45">
        <v>1</v>
      </c>
      <c r="M45">
        <v>3</v>
      </c>
      <c r="O45" s="1">
        <v>26</v>
      </c>
    </row>
    <row r="46" spans="1:15" x14ac:dyDescent="0.2">
      <c r="A46" t="s">
        <v>70</v>
      </c>
      <c r="B46">
        <v>172</v>
      </c>
      <c r="C46">
        <v>78.2</v>
      </c>
      <c r="D46">
        <v>26.433207138994099</v>
      </c>
      <c r="E46">
        <v>59</v>
      </c>
      <c r="F46">
        <v>39</v>
      </c>
      <c r="G46">
        <v>12.7</v>
      </c>
      <c r="H46">
        <v>15</v>
      </c>
      <c r="I46">
        <v>1</v>
      </c>
      <c r="J46">
        <v>49.5</v>
      </c>
      <c r="K46">
        <v>707</v>
      </c>
      <c r="L46">
        <v>0</v>
      </c>
      <c r="M46">
        <v>0</v>
      </c>
      <c r="O46" s="1">
        <v>52</v>
      </c>
    </row>
    <row r="47" spans="1:15" x14ac:dyDescent="0.2">
      <c r="A47" t="s">
        <v>71</v>
      </c>
      <c r="B47">
        <v>183.8</v>
      </c>
      <c r="C47">
        <v>83.2</v>
      </c>
      <c r="D47">
        <v>24.628179610472198</v>
      </c>
      <c r="E47">
        <v>58</v>
      </c>
      <c r="F47">
        <v>38</v>
      </c>
      <c r="G47">
        <v>10.68</v>
      </c>
      <c r="H47">
        <v>22</v>
      </c>
      <c r="I47">
        <v>1</v>
      </c>
      <c r="J47">
        <v>62.8</v>
      </c>
      <c r="K47">
        <v>889</v>
      </c>
      <c r="L47">
        <v>0</v>
      </c>
      <c r="M47">
        <v>0</v>
      </c>
      <c r="O47" s="1">
        <v>32</v>
      </c>
    </row>
    <row r="48" spans="1:15" x14ac:dyDescent="0.2">
      <c r="A48" t="s">
        <v>72</v>
      </c>
      <c r="B48">
        <v>179.2</v>
      </c>
      <c r="C48">
        <v>84.8</v>
      </c>
      <c r="D48">
        <v>26.407047193877599</v>
      </c>
      <c r="E48">
        <v>57</v>
      </c>
      <c r="F48">
        <v>39</v>
      </c>
      <c r="G48">
        <v>18.8</v>
      </c>
      <c r="H48">
        <v>8</v>
      </c>
      <c r="I48">
        <v>1</v>
      </c>
      <c r="J48">
        <v>49.8</v>
      </c>
      <c r="K48">
        <v>860</v>
      </c>
      <c r="L48">
        <v>0</v>
      </c>
      <c r="M48">
        <v>0</v>
      </c>
      <c r="O48" s="1">
        <v>34</v>
      </c>
    </row>
    <row r="49" spans="1:15" x14ac:dyDescent="0.2">
      <c r="A49" t="s">
        <v>73</v>
      </c>
      <c r="B49">
        <v>187</v>
      </c>
      <c r="C49">
        <v>83.7</v>
      </c>
      <c r="D49">
        <v>23.9354857159198</v>
      </c>
      <c r="E49">
        <v>57</v>
      </c>
      <c r="F49">
        <v>38</v>
      </c>
      <c r="G49">
        <v>22.2</v>
      </c>
      <c r="H49">
        <v>7</v>
      </c>
      <c r="I49">
        <v>1</v>
      </c>
      <c r="J49">
        <v>38.9</v>
      </c>
      <c r="K49">
        <v>555</v>
      </c>
      <c r="L49">
        <v>1</v>
      </c>
      <c r="M49">
        <v>4</v>
      </c>
      <c r="O49" s="1">
        <v>46</v>
      </c>
    </row>
    <row r="50" spans="1:15" x14ac:dyDescent="0.2">
      <c r="A50" t="s">
        <v>74</v>
      </c>
      <c r="B50">
        <v>164.7</v>
      </c>
      <c r="C50">
        <v>59.5</v>
      </c>
      <c r="D50">
        <v>21.934602443625302</v>
      </c>
      <c r="E50">
        <v>55</v>
      </c>
      <c r="F50">
        <v>35</v>
      </c>
      <c r="G50">
        <v>13.5</v>
      </c>
      <c r="H50">
        <v>4</v>
      </c>
      <c r="I50">
        <v>1</v>
      </c>
      <c r="J50">
        <v>55.8</v>
      </c>
      <c r="K50">
        <v>648</v>
      </c>
      <c r="L50">
        <v>1</v>
      </c>
      <c r="M50">
        <v>3</v>
      </c>
      <c r="O50" s="1">
        <v>45</v>
      </c>
    </row>
    <row r="51" spans="1:15" x14ac:dyDescent="0.2">
      <c r="A51" t="s">
        <v>75</v>
      </c>
      <c r="B51">
        <v>178.5</v>
      </c>
      <c r="C51">
        <v>79.8</v>
      </c>
      <c r="D51">
        <v>25.045312242544099</v>
      </c>
      <c r="E51">
        <v>56</v>
      </c>
      <c r="F51">
        <v>38</v>
      </c>
      <c r="G51">
        <v>8.3000000000000007</v>
      </c>
      <c r="H51">
        <v>8</v>
      </c>
      <c r="I51">
        <v>1</v>
      </c>
      <c r="J51">
        <v>38</v>
      </c>
      <c r="K51">
        <v>670</v>
      </c>
      <c r="L51">
        <v>0</v>
      </c>
      <c r="M51">
        <v>0</v>
      </c>
      <c r="O51" s="1">
        <v>29</v>
      </c>
    </row>
    <row r="52" spans="1:15" x14ac:dyDescent="0.2">
      <c r="A52" t="s">
        <v>76</v>
      </c>
      <c r="B52">
        <v>185</v>
      </c>
      <c r="C52">
        <v>94.75</v>
      </c>
      <c r="D52">
        <v>27.684441197954701</v>
      </c>
      <c r="G52">
        <v>25.1</v>
      </c>
      <c r="H52">
        <v>18</v>
      </c>
      <c r="I52">
        <v>1</v>
      </c>
      <c r="J52">
        <v>49.4</v>
      </c>
      <c r="K52">
        <v>730</v>
      </c>
      <c r="L52">
        <v>0</v>
      </c>
      <c r="M52">
        <v>0</v>
      </c>
      <c r="N52">
        <v>2</v>
      </c>
      <c r="O52" s="1">
        <v>50</v>
      </c>
    </row>
    <row r="53" spans="1:15" x14ac:dyDescent="0.2">
      <c r="A53" t="s">
        <v>77</v>
      </c>
      <c r="B53">
        <v>170</v>
      </c>
      <c r="C53">
        <v>78.8</v>
      </c>
      <c r="D53">
        <v>27.266435986159198</v>
      </c>
      <c r="E53">
        <v>56</v>
      </c>
      <c r="F53">
        <v>39</v>
      </c>
      <c r="G53">
        <v>13.9</v>
      </c>
      <c r="H53">
        <v>2</v>
      </c>
      <c r="I53">
        <v>1</v>
      </c>
      <c r="J53">
        <v>53.6</v>
      </c>
      <c r="K53">
        <v>831</v>
      </c>
      <c r="L53">
        <v>1</v>
      </c>
      <c r="M53">
        <v>6</v>
      </c>
      <c r="O53" s="1">
        <v>26</v>
      </c>
    </row>
    <row r="54" spans="1:15" x14ac:dyDescent="0.2">
      <c r="A54" t="s">
        <v>78</v>
      </c>
      <c r="B54">
        <v>188.5</v>
      </c>
      <c r="C54">
        <v>99.75</v>
      </c>
      <c r="D54">
        <v>28.073088532248899</v>
      </c>
      <c r="E54">
        <v>60</v>
      </c>
      <c r="F54">
        <v>40</v>
      </c>
      <c r="G54">
        <v>18.600000000000001</v>
      </c>
      <c r="H54">
        <v>3</v>
      </c>
      <c r="I54">
        <v>1</v>
      </c>
      <c r="J54">
        <v>47.1</v>
      </c>
      <c r="K54">
        <v>834</v>
      </c>
      <c r="L54">
        <v>1</v>
      </c>
      <c r="M54">
        <v>3</v>
      </c>
      <c r="O54" s="1">
        <v>29</v>
      </c>
    </row>
    <row r="55" spans="1:15" x14ac:dyDescent="0.2">
      <c r="A55" t="s">
        <v>79</v>
      </c>
      <c r="B55">
        <v>181.5</v>
      </c>
      <c r="C55">
        <v>95.4</v>
      </c>
      <c r="D55">
        <v>28.959770507479</v>
      </c>
      <c r="E55">
        <v>58</v>
      </c>
      <c r="F55">
        <v>42</v>
      </c>
      <c r="G55">
        <v>10.6</v>
      </c>
      <c r="H55">
        <v>1</v>
      </c>
      <c r="I55">
        <v>1</v>
      </c>
      <c r="J55">
        <v>42.2</v>
      </c>
      <c r="K55">
        <v>958</v>
      </c>
      <c r="L55">
        <v>0</v>
      </c>
      <c r="M55">
        <v>0</v>
      </c>
      <c r="O55" s="1">
        <v>26</v>
      </c>
    </row>
    <row r="56" spans="1:15" x14ac:dyDescent="0.2">
      <c r="A56" t="s">
        <v>80</v>
      </c>
      <c r="B56">
        <v>167</v>
      </c>
      <c r="C56">
        <v>77</v>
      </c>
      <c r="D56">
        <v>27.609451755172302</v>
      </c>
      <c r="E56">
        <v>56</v>
      </c>
      <c r="F56">
        <v>40</v>
      </c>
      <c r="G56">
        <v>19.100000000000001</v>
      </c>
      <c r="H56">
        <v>1</v>
      </c>
      <c r="I56">
        <v>1</v>
      </c>
      <c r="J56">
        <v>45.7</v>
      </c>
      <c r="K56">
        <v>777</v>
      </c>
      <c r="L56">
        <v>1</v>
      </c>
      <c r="M56">
        <v>2</v>
      </c>
      <c r="O56" s="1">
        <v>27</v>
      </c>
    </row>
    <row r="57" spans="1:15" x14ac:dyDescent="0.2">
      <c r="A57" t="s">
        <v>81</v>
      </c>
      <c r="B57">
        <v>176</v>
      </c>
      <c r="C57">
        <v>61.05</v>
      </c>
      <c r="D57">
        <v>19.708806818181799</v>
      </c>
      <c r="E57">
        <v>55</v>
      </c>
      <c r="F57">
        <v>36</v>
      </c>
      <c r="G57">
        <v>18.899999999999999</v>
      </c>
      <c r="H57">
        <v>4</v>
      </c>
      <c r="I57">
        <v>1</v>
      </c>
      <c r="J57">
        <v>52.7</v>
      </c>
      <c r="K57">
        <v>576</v>
      </c>
      <c r="L57">
        <v>0</v>
      </c>
      <c r="M57">
        <v>0</v>
      </c>
      <c r="O57" s="1">
        <v>50</v>
      </c>
    </row>
    <row r="58" spans="1:15" x14ac:dyDescent="0.2">
      <c r="A58" t="s">
        <v>82</v>
      </c>
      <c r="B58">
        <v>174</v>
      </c>
      <c r="C58">
        <v>67.400000000000006</v>
      </c>
      <c r="D58">
        <v>22.2618575769587</v>
      </c>
      <c r="E58">
        <v>55</v>
      </c>
      <c r="F58">
        <v>38</v>
      </c>
      <c r="G58">
        <v>12.3</v>
      </c>
      <c r="H58">
        <v>4</v>
      </c>
      <c r="I58">
        <v>1</v>
      </c>
      <c r="J58">
        <v>52.1</v>
      </c>
      <c r="K58">
        <v>707</v>
      </c>
      <c r="L58">
        <v>1</v>
      </c>
      <c r="M58">
        <v>6</v>
      </c>
      <c r="O58" s="1">
        <v>29</v>
      </c>
    </row>
    <row r="59" spans="1:15" x14ac:dyDescent="0.2">
      <c r="A59" t="s">
        <v>83</v>
      </c>
      <c r="B59">
        <v>171.5</v>
      </c>
      <c r="C59">
        <v>94.8</v>
      </c>
      <c r="D59">
        <v>32.420231870000002</v>
      </c>
      <c r="E59">
        <v>57</v>
      </c>
      <c r="F59">
        <v>40</v>
      </c>
      <c r="G59">
        <v>7</v>
      </c>
      <c r="H59">
        <v>12</v>
      </c>
      <c r="I59">
        <v>1</v>
      </c>
      <c r="J59">
        <v>44</v>
      </c>
      <c r="K59">
        <v>735</v>
      </c>
      <c r="L59">
        <v>1</v>
      </c>
      <c r="M59">
        <v>6</v>
      </c>
      <c r="O59" s="1">
        <v>33</v>
      </c>
    </row>
    <row r="60" spans="1:15" x14ac:dyDescent="0.2">
      <c r="A60" t="s">
        <v>84</v>
      </c>
      <c r="B60">
        <v>171.2</v>
      </c>
      <c r="C60">
        <v>77.2</v>
      </c>
      <c r="D60">
        <v>26.339636649489002</v>
      </c>
      <c r="E60">
        <v>56</v>
      </c>
      <c r="F60">
        <v>39</v>
      </c>
      <c r="G60">
        <v>20.6</v>
      </c>
      <c r="H60">
        <v>1</v>
      </c>
      <c r="I60">
        <v>1</v>
      </c>
      <c r="J60">
        <v>49.5</v>
      </c>
      <c r="K60">
        <v>664</v>
      </c>
      <c r="L60">
        <v>1</v>
      </c>
      <c r="M60">
        <v>4</v>
      </c>
      <c r="O60" s="1">
        <v>31</v>
      </c>
    </row>
    <row r="61" spans="1:15" x14ac:dyDescent="0.2">
      <c r="A61" t="s">
        <v>85</v>
      </c>
      <c r="B61">
        <v>187.5</v>
      </c>
      <c r="C61">
        <v>83.25</v>
      </c>
      <c r="D61">
        <v>23.68</v>
      </c>
      <c r="E61">
        <v>56</v>
      </c>
      <c r="F61">
        <v>36</v>
      </c>
      <c r="G61">
        <v>18.899999999999999</v>
      </c>
      <c r="H61">
        <v>7</v>
      </c>
      <c r="I61">
        <v>1</v>
      </c>
      <c r="J61">
        <v>54.7</v>
      </c>
      <c r="K61">
        <v>760</v>
      </c>
      <c r="L61">
        <v>0</v>
      </c>
      <c r="M61">
        <v>0</v>
      </c>
      <c r="O61" s="1">
        <v>47</v>
      </c>
    </row>
    <row r="64" spans="1:15" x14ac:dyDescent="0.2">
      <c r="K64">
        <f>AVERAGE(K2:K61)</f>
        <v>741.58333333333337</v>
      </c>
    </row>
    <row r="65" spans="11:11" x14ac:dyDescent="0.2">
      <c r="K65">
        <f>STDEV(K2:K61)</f>
        <v>171.24343774799488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lee keidan</cp:lastModifiedBy>
  <cp:revision>1</cp:revision>
  <dcterms:created xsi:type="dcterms:W3CDTF">2026-01-14T08:51:45Z</dcterms:created>
  <dcterms:modified xsi:type="dcterms:W3CDTF">2026-06-24T08:50:03Z</dcterms:modified>
  <dc:language>en-IL</dc:language>
</cp:coreProperties>
</file>